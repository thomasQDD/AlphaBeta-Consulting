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eurs" sheetId="1" r:id="rId4"/>
    <sheet state="visible" name="Questions" sheetId="2" r:id="rId5"/>
  </sheets>
  <definedNames/>
  <calcPr/>
</workbook>
</file>

<file path=xl/sharedStrings.xml><?xml version="1.0" encoding="utf-8"?>
<sst xmlns="http://schemas.openxmlformats.org/spreadsheetml/2006/main" count="102" uniqueCount="90">
  <si>
    <t>Valeurs à stocker</t>
  </si>
  <si>
    <t>à saisir</t>
  </si>
  <si>
    <t>Définition</t>
  </si>
  <si>
    <t>Variable</t>
  </si>
  <si>
    <t>Valeur</t>
  </si>
  <si>
    <t>Unité</t>
  </si>
  <si>
    <t>Notes</t>
  </si>
  <si>
    <t>salaire annoncé par l’utilisateur</t>
  </si>
  <si>
    <t>A</t>
  </si>
  <si>
    <t>€</t>
  </si>
  <si>
    <t>chiffre d'affaires cible si produit</t>
  </si>
  <si>
    <t>B1</t>
  </si>
  <si>
    <t>hypothèse 4 semaines off</t>
  </si>
  <si>
    <t>chiffre d'affaires cible si service</t>
  </si>
  <si>
    <t>B2</t>
  </si>
  <si>
    <t>chiffre d'affaires à utiliser</t>
  </si>
  <si>
    <t>B</t>
  </si>
  <si>
    <t>B1 ou B2</t>
  </si>
  <si>
    <t>chiffre d'affaire par jour</t>
  </si>
  <si>
    <t>C</t>
  </si>
  <si>
    <t>€/j</t>
  </si>
  <si>
    <t>hypothèse 20 jours ouvrés</t>
  </si>
  <si>
    <t>taux horaire</t>
  </si>
  <si>
    <t>D</t>
  </si>
  <si>
    <t>€/h</t>
  </si>
  <si>
    <t>hypothèse 8h ouvert par jour</t>
  </si>
  <si>
    <t>nombre de collaborateurs</t>
  </si>
  <si>
    <t>E</t>
  </si>
  <si>
    <t>fondateur</t>
  </si>
  <si>
    <t>E1</t>
  </si>
  <si>
    <t>associés hors utilisateur</t>
  </si>
  <si>
    <t>E2</t>
  </si>
  <si>
    <t>nombre entier</t>
  </si>
  <si>
    <t>salariés sauf associés et fondateur</t>
  </si>
  <si>
    <t>E3</t>
  </si>
  <si>
    <t>besoin financier au lancement</t>
  </si>
  <si>
    <t>F1</t>
  </si>
  <si>
    <t>apport personnel au lancement</t>
  </si>
  <si>
    <t>L</t>
  </si>
  <si>
    <t>nombre de mois nécessaire annoncé par l’utilisateur pour atteindre la valeur A</t>
  </si>
  <si>
    <t>T</t>
  </si>
  <si>
    <t>mois</t>
  </si>
  <si>
    <t>nombre de mois réalistepour atteindre la valeur A</t>
  </si>
  <si>
    <t>Tr</t>
  </si>
  <si>
    <t>hypothèse coefficient 3</t>
  </si>
  <si>
    <t>panier moyen</t>
  </si>
  <si>
    <t>M</t>
  </si>
  <si>
    <t>=C6/C23</t>
  </si>
  <si>
    <t>nombre de clients par mois</t>
  </si>
  <si>
    <t>N</t>
  </si>
  <si>
    <t>=C6/C22</t>
  </si>
  <si>
    <t>B = M*N</t>
  </si>
  <si>
    <t>charges mensuelles</t>
  </si>
  <si>
    <t>Z</t>
  </si>
  <si>
    <t>“Après les chiffres, ton projet en quelques mots.”</t>
  </si>
  <si>
    <t>Au choix, je vends : un produit (B1) ? un service (B2) ?</t>
  </si>
  <si>
    <t>Voici une première liste avec le type général d’activité. Les sous-thèmes doivent apparaître après avoir cliqué :</t>
  </si>
  <si>
    <t>Vente directe (one-shot / récurrent / licences).</t>
  </si>
  <si>
    <t>Achat unique</t>
  </si>
  <si>
    <t>Achat récurrent</t>
  </si>
  <si>
    <t>Abonnement</t>
  </si>
  <si>
    <t>Commissions &amp; intermédiation.</t>
  </si>
  <si>
    <t>Commission sur transaction ou marketplace</t>
  </si>
  <si>
    <t>Affiliation</t>
  </si>
  <si>
    <t>Drop-shipping</t>
  </si>
  <si>
    <t>Services premium &amp; expertise</t>
  </si>
  <si>
    <t>Consulting &amp; accompagnement</t>
  </si>
  <si>
    <t>Formation</t>
  </si>
  <si>
    <t>Certification</t>
  </si>
  <si>
    <t>Assistance, services à la personne</t>
  </si>
  <si>
    <t>Autres</t>
  </si>
  <si>
    <t>Publicité &amp; sponsoring.</t>
  </si>
  <si>
    <t>Produits digitaux</t>
  </si>
  <si>
    <t>Modèles financiers (donations, crowdfunding…)</t>
  </si>
  <si>
    <t>Monétisation indirecte (leads, data, co-branding)</t>
  </si>
  <si>
    <t>Tu souhaites vendre “choix du sous thème d'activité ci-dessus”. Et plus précisément :</t>
  </si>
  <si>
    <t>Quoi : champ texte court</t>
  </si>
  <si>
    <t>Où : cases à cocher (plusieurs choix possibles) et un champ texte à côté : une ville et ses alentours ; ma région ; mon pays ; sur internet</t>
  </si>
  <si>
    <t>Avec qui : case à cocher (plusieurs choix possibles) : seul (valeur E1), avec des associés (indiquer le nombre de la valeur E2), avec des salariés (indiquer le nombre de la valeur E3) ; la somme des valeurs dans les cases</t>
  </si>
  <si>
    <t>Raconte nous qui va faire quoi, comment tu vas le faire : champ texte</t>
  </si>
  <si>
    <t>Si tu dois découper ta semaine, essaie de répartir ton temps entre la production et la vente (barre avec les 2 termes aux extrémités et pourcentages).</t>
  </si>
  <si>
    <t>Penses-tu que ton activité est saisonnière : réponse oui ou non</t>
  </si>
  <si>
    <t>Si oui : sélectionne selon toi les 3 mois où tu feras le plus de chiffre puis sélectionne les 3 mois où tu feras le moins de chiffres ; je veux les 12 mois présentés dans l’ordre avec une surbrillance quand c’est choisi (stocke moi ces 6 mois pour mettre des coefficients dans le livrable “Plan de trésorerie”). Puis question suivante.</t>
  </si>
  <si>
    <t>Si non, question suivante.</t>
  </si>
  <si>
    <t>Parle nous de tes premiers clients en quelques mots, comment penses-tu les rencontrer et les conquérir, ce sont souvent ceux qui seront indulgents avec le novice sympathique que tu es : champ libre.</t>
  </si>
  <si>
    <t>Quelle est selon toi l’avantage concurrentiel de ta solution ? Cela peut-être une qualité précise, une expertise, un emplacement géographique par rapport à tes clients… : champ libre</t>
  </si>
  <si>
    <t>Pour quelle raison tes clients te recommandent-ils ? : champ libre</t>
  </si>
  <si>
    <t>Et enfin, c’est mieux de le savoir avant d’y aller : As-tu besoin d’autorisations, d’habilitations, de diplômes ou autres pour exercer ? ; réponse oui ou non ; si réponse non, fin de ce volet ; si réponse oui, demander si l’utilisateur les détient déjà ; réponse oui ou non ; si non, quel est le coût et le délai (en mois) pour les obtenir.</t>
  </si>
  <si>
    <t>Quel est ton apport financier personnel que tu es prêt à mettre au lancement (valeur L)</t>
  </si>
  <si>
    <t>Quel est selon toi ton besoin initial de financement pour te lancer en plus de ton apport personnel : nombre en euros (valeur F1)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</si>
</sst>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wrapText="0"/>
    </xf>
    <xf borderId="0" fillId="2" fontId="2" numFmtId="0" xfId="0" applyFont="1"/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vertical="bottom"/>
    </xf>
    <xf borderId="0" fillId="0" fontId="2" numFmtId="1" xfId="0" applyFont="1" applyNumberFormat="1"/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2" numFmtId="0" xfId="0" applyFont="1"/>
    <xf borderId="0" fillId="0" fontId="4" numFmtId="0" xfId="0" applyAlignment="1" applyFont="1">
      <alignment horizontal="right" readingOrder="0" shrinkToFit="0" vertical="bottom" wrapText="0"/>
    </xf>
    <xf quotePrefix="1" borderId="0" fillId="2" fontId="2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4.5"/>
  </cols>
  <sheetData>
    <row r="1">
      <c r="A1" s="1" t="s">
        <v>0</v>
      </c>
      <c r="C1" s="2" t="s">
        <v>1</v>
      </c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</row>
    <row r="3">
      <c r="A3" s="4" t="s">
        <v>7</v>
      </c>
      <c r="B3" s="5" t="s">
        <v>8</v>
      </c>
      <c r="C3" s="6"/>
      <c r="D3" s="3" t="s">
        <v>9</v>
      </c>
    </row>
    <row r="4">
      <c r="A4" s="7" t="s">
        <v>10</v>
      </c>
      <c r="B4" s="8" t="s">
        <v>11</v>
      </c>
      <c r="C4" s="9">
        <f>2*$C$3*(4/3)*(12/11)</f>
        <v>0</v>
      </c>
      <c r="D4" s="3" t="s">
        <v>9</v>
      </c>
      <c r="E4" s="3" t="s">
        <v>12</v>
      </c>
    </row>
    <row r="5">
      <c r="A5" s="7" t="s">
        <v>13</v>
      </c>
      <c r="B5" s="5" t="s">
        <v>14</v>
      </c>
      <c r="C5" s="9">
        <f>$C$3*(4/3)*(12/11)</f>
        <v>0</v>
      </c>
      <c r="D5" s="3" t="s">
        <v>9</v>
      </c>
      <c r="E5" s="3" t="s">
        <v>12</v>
      </c>
    </row>
    <row r="6">
      <c r="A6" s="7" t="s">
        <v>15</v>
      </c>
      <c r="B6" s="5" t="s">
        <v>16</v>
      </c>
      <c r="C6" s="3" t="s">
        <v>17</v>
      </c>
      <c r="D6" s="3" t="s">
        <v>9</v>
      </c>
    </row>
    <row r="7">
      <c r="A7" s="10"/>
      <c r="B7" s="11"/>
    </row>
    <row r="8">
      <c r="A8" s="7" t="s">
        <v>18</v>
      </c>
      <c r="B8" s="12" t="s">
        <v>19</v>
      </c>
      <c r="C8" s="6" t="str">
        <f>C6/20</f>
        <v>#VALUE!</v>
      </c>
      <c r="D8" s="3" t="s">
        <v>20</v>
      </c>
      <c r="E8" s="3" t="s">
        <v>21</v>
      </c>
    </row>
    <row r="9">
      <c r="A9" s="7" t="s">
        <v>22</v>
      </c>
      <c r="B9" s="12" t="s">
        <v>23</v>
      </c>
      <c r="C9" s="6" t="str">
        <f>C8/8</f>
        <v>#VALUE!</v>
      </c>
      <c r="D9" s="3" t="s">
        <v>24</v>
      </c>
      <c r="E9" s="3" t="s">
        <v>25</v>
      </c>
    </row>
    <row r="10">
      <c r="A10" s="13"/>
      <c r="B10" s="11"/>
    </row>
    <row r="11">
      <c r="A11" s="4" t="s">
        <v>26</v>
      </c>
      <c r="B11" s="5" t="s">
        <v>27</v>
      </c>
      <c r="C11" s="14">
        <f>C12+C13+C14</f>
        <v>1</v>
      </c>
    </row>
    <row r="12">
      <c r="A12" s="7" t="s">
        <v>28</v>
      </c>
      <c r="B12" s="5" t="s">
        <v>29</v>
      </c>
      <c r="C12" s="3">
        <v>1.0</v>
      </c>
    </row>
    <row r="13">
      <c r="A13" s="7" t="s">
        <v>30</v>
      </c>
      <c r="B13" s="8" t="s">
        <v>31</v>
      </c>
      <c r="C13" s="6"/>
      <c r="E13" s="3" t="s">
        <v>32</v>
      </c>
    </row>
    <row r="14">
      <c r="A14" s="15" t="s">
        <v>33</v>
      </c>
      <c r="B14" s="12" t="s">
        <v>34</v>
      </c>
      <c r="C14" s="6"/>
      <c r="E14" s="3" t="s">
        <v>32</v>
      </c>
    </row>
    <row r="15">
      <c r="A15" s="13"/>
      <c r="B15" s="11"/>
    </row>
    <row r="16">
      <c r="A16" s="4" t="s">
        <v>35</v>
      </c>
      <c r="B16" s="5" t="s">
        <v>36</v>
      </c>
      <c r="C16" s="6"/>
      <c r="D16" s="3" t="s">
        <v>9</v>
      </c>
    </row>
    <row r="17">
      <c r="A17" s="4" t="s">
        <v>37</v>
      </c>
      <c r="B17" s="5" t="s">
        <v>38</v>
      </c>
      <c r="C17" s="6"/>
      <c r="D17" s="3" t="s">
        <v>9</v>
      </c>
    </row>
    <row r="18">
      <c r="A18" s="13"/>
      <c r="B18" s="11"/>
    </row>
    <row r="19">
      <c r="A19" s="7" t="s">
        <v>39</v>
      </c>
      <c r="B19" s="5" t="s">
        <v>40</v>
      </c>
      <c r="C19" s="6"/>
      <c r="D19" s="3" t="s">
        <v>41</v>
      </c>
    </row>
    <row r="20">
      <c r="A20" s="7" t="s">
        <v>42</v>
      </c>
      <c r="B20" s="12" t="s">
        <v>43</v>
      </c>
      <c r="C20" s="14">
        <f>3*C19</f>
        <v>0</v>
      </c>
      <c r="D20" s="3" t="s">
        <v>41</v>
      </c>
      <c r="E20" s="3" t="s">
        <v>44</v>
      </c>
    </row>
    <row r="21">
      <c r="A21" s="13"/>
      <c r="B21" s="11"/>
    </row>
    <row r="22">
      <c r="A22" s="4" t="s">
        <v>45</v>
      </c>
      <c r="B22" s="5" t="s">
        <v>46</v>
      </c>
      <c r="C22" s="16" t="s">
        <v>47</v>
      </c>
      <c r="D22" s="3" t="s">
        <v>9</v>
      </c>
    </row>
    <row r="23">
      <c r="A23" s="4" t="s">
        <v>48</v>
      </c>
      <c r="B23" s="5" t="s">
        <v>49</v>
      </c>
      <c r="C23" s="16" t="s">
        <v>50</v>
      </c>
    </row>
    <row r="24">
      <c r="A24" s="7" t="s">
        <v>51</v>
      </c>
      <c r="B24" s="12" t="s">
        <v>16</v>
      </c>
      <c r="D24" s="3" t="s">
        <v>9</v>
      </c>
    </row>
    <row r="25">
      <c r="A25" s="4" t="s">
        <v>52</v>
      </c>
      <c r="B25" s="5" t="s">
        <v>53</v>
      </c>
      <c r="D25" s="3" t="s">
        <v>9</v>
      </c>
    </row>
    <row r="27">
      <c r="A27" s="10" t="s">
        <v>54</v>
      </c>
    </row>
    <row r="28">
      <c r="A28" s="1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55</v>
      </c>
    </row>
    <row r="2">
      <c r="A2" s="17"/>
    </row>
    <row r="3">
      <c r="A3" s="10" t="s">
        <v>56</v>
      </c>
    </row>
    <row r="4">
      <c r="A4" s="17"/>
    </row>
    <row r="5">
      <c r="A5" s="10" t="s">
        <v>57</v>
      </c>
    </row>
    <row r="6">
      <c r="B6" s="10" t="s">
        <v>58</v>
      </c>
    </row>
    <row r="7">
      <c r="B7" s="10" t="s">
        <v>59</v>
      </c>
    </row>
    <row r="8">
      <c r="B8" s="10" t="s">
        <v>60</v>
      </c>
    </row>
    <row r="9">
      <c r="A9" s="17"/>
    </row>
    <row r="10">
      <c r="A10" s="10" t="s">
        <v>61</v>
      </c>
    </row>
    <row r="11">
      <c r="B11" s="10" t="s">
        <v>62</v>
      </c>
    </row>
    <row r="12">
      <c r="B12" s="10" t="s">
        <v>63</v>
      </c>
    </row>
    <row r="13">
      <c r="B13" s="10" t="s">
        <v>64</v>
      </c>
    </row>
    <row r="14">
      <c r="A14" s="17"/>
    </row>
    <row r="15">
      <c r="A15" s="10" t="s">
        <v>65</v>
      </c>
    </row>
    <row r="16">
      <c r="B16" s="10" t="s">
        <v>66</v>
      </c>
    </row>
    <row r="17">
      <c r="B17" s="10" t="s">
        <v>67</v>
      </c>
    </row>
    <row r="18">
      <c r="B18" s="10" t="s">
        <v>68</v>
      </c>
    </row>
    <row r="19">
      <c r="B19" s="10" t="s">
        <v>69</v>
      </c>
    </row>
    <row r="20">
      <c r="A20" s="10"/>
    </row>
    <row r="21">
      <c r="A21" s="10" t="s">
        <v>70</v>
      </c>
    </row>
    <row r="22">
      <c r="B22" s="10" t="s">
        <v>71</v>
      </c>
    </row>
    <row r="23">
      <c r="B23" s="10" t="s">
        <v>72</v>
      </c>
    </row>
    <row r="24">
      <c r="B24" s="10" t="s">
        <v>73</v>
      </c>
    </row>
    <row r="25">
      <c r="B25" s="10" t="s">
        <v>74</v>
      </c>
    </row>
    <row r="27">
      <c r="A27" s="10" t="s">
        <v>75</v>
      </c>
    </row>
    <row r="28">
      <c r="A28" s="17"/>
    </row>
    <row r="29">
      <c r="A29" s="10" t="s">
        <v>76</v>
      </c>
    </row>
    <row r="30">
      <c r="A30" s="17"/>
    </row>
    <row r="31">
      <c r="A31" s="10" t="s">
        <v>77</v>
      </c>
    </row>
    <row r="32">
      <c r="A32" s="17"/>
    </row>
    <row r="33">
      <c r="A33" s="10" t="s">
        <v>78</v>
      </c>
    </row>
    <row r="34">
      <c r="A34" s="17"/>
    </row>
    <row r="35">
      <c r="A35" s="10" t="s">
        <v>79</v>
      </c>
    </row>
    <row r="36">
      <c r="A36" s="17"/>
    </row>
    <row r="37">
      <c r="A37" s="10" t="s">
        <v>80</v>
      </c>
    </row>
    <row r="38">
      <c r="A38" s="17"/>
    </row>
    <row r="39">
      <c r="A39" s="10" t="s">
        <v>81</v>
      </c>
    </row>
    <row r="40">
      <c r="A40" s="17"/>
    </row>
    <row r="41">
      <c r="A41" s="10" t="s">
        <v>82</v>
      </c>
    </row>
    <row r="42">
      <c r="A42" s="17"/>
    </row>
    <row r="43">
      <c r="A43" s="10" t="s">
        <v>83</v>
      </c>
    </row>
    <row r="44">
      <c r="A44" s="17"/>
    </row>
    <row r="45">
      <c r="A45" s="10" t="s">
        <v>84</v>
      </c>
    </row>
    <row r="46">
      <c r="A46" s="17"/>
    </row>
    <row r="47">
      <c r="A47" s="10" t="s">
        <v>85</v>
      </c>
    </row>
    <row r="48">
      <c r="A48" s="17"/>
    </row>
    <row r="49">
      <c r="A49" s="10" t="s">
        <v>86</v>
      </c>
    </row>
    <row r="50">
      <c r="A50" s="17"/>
    </row>
    <row r="51">
      <c r="A51" s="10" t="s">
        <v>87</v>
      </c>
    </row>
    <row r="52">
      <c r="A52" s="17"/>
    </row>
    <row r="53">
      <c r="A53" s="10" t="s">
        <v>88</v>
      </c>
    </row>
    <row r="54">
      <c r="A54" s="17"/>
    </row>
    <row r="55">
      <c r="A55" s="10" t="s">
        <v>89</v>
      </c>
    </row>
  </sheetData>
  <drawing r:id="rId1"/>
</worksheet>
</file>